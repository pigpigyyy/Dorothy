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orothy\tools\tolua++\"/>
    </mc:Choice>
  </mc:AlternateContent>
  <bookViews>
    <workbookView xWindow="0" yWindow="0" windowWidth="11520" windowHeight="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B6" i="1" l="1"/>
  <c r="D6" i="1" l="1"/>
  <c r="E1" i="1"/>
  <c r="G1" i="1"/>
  <c r="C6" i="1"/>
  <c r="H1" i="1"/>
  <c r="D1" i="1"/>
  <c r="F1" i="1"/>
  <c r="A4" i="1" l="1"/>
</calcChain>
</file>

<file path=xl/sharedStrings.xml><?xml version="1.0" encoding="utf-8"?>
<sst xmlns="http://schemas.openxmlformats.org/spreadsheetml/2006/main" count="7" uniqueCount="6">
  <si>
    <t>Name</t>
    <phoneticPr fontId="1" type="noConversion"/>
  </si>
  <si>
    <t>Description</t>
    <phoneticPr fontId="1" type="noConversion"/>
  </si>
  <si>
    <t>ItemType</t>
    <phoneticPr fontId="1" type="noConversion"/>
  </si>
  <si>
    <t>value</t>
  </si>
  <si>
    <t>offset</t>
  </si>
  <si>
    <t>oVec2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</si>
</sst>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Border="1" applyAlignment="1">
      <alignment vertical="center" shrinkToFit="1"/>
    </xf>
    <xf numFmtId="49" fontId="4" fillId="0" borderId="1" xfId="0" applyNumberFormat="1" applyFont="1" applyFill="1" applyBorder="1" applyAlignment="1">
      <alignment vertical="center" shrinkToFit="1"/>
    </xf>
    <xf numFmtId="0" fontId="4" fillId="0" borderId="1" xfId="0" applyFont="1" applyBorder="1" applyAlignment="1">
      <alignment vertical="center" shrinkToFi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zoomScaleNormal="100" workbookViewId="0">
      <selection activeCell="A4" sqref="A4:D4"/>
    </sheetView>
  </sheetViews>
  <sheetFormatPr defaultRowHeight="13.5" x14ac:dyDescent="0.15"/>
  <cols>
    <col min="1" max="1" width="14.875" bestFit="1" customWidth="1"/>
    <col min="2" max="2" width="9.875" bestFit="1" customWidth="1"/>
    <col min="3" max="3" width="18" customWidth="1"/>
    <col min="4" max="4" width="18.375" customWidth="1"/>
    <col min="5" max="5" width="14.125" customWidth="1"/>
    <col min="6" max="6" width="16.875" bestFit="1" customWidth="1"/>
    <col min="7" max="7" width="12.625" bestFit="1" customWidth="1"/>
    <col min="8" max="8" width="15.25" bestFit="1" customWidth="1"/>
  </cols>
  <sheetData>
    <row r="1" spans="1:13" ht="22.5" x14ac:dyDescent="0.15">
      <c r="A1" s="5" t="s">
        <v>2</v>
      </c>
      <c r="B1" s="5" t="s">
        <v>0</v>
      </c>
      <c r="C1" s="5" t="s">
        <v>1</v>
      </c>
      <c r="D1" s="5" t="str">
        <f>""&amp;IF(A2="class","Parent","")&amp;""&amp;IF(A2="value","Type","")&amp;""&amp;IF(OR(A2="method",A2="function"),"Args","")&amp;""</f>
        <v>Type</v>
      </c>
      <c r="E1" s="7" t="str">
        <f>""&amp;IF(OR(A2="class",A2="function"),"","Static")&amp;""&amp;IF(A2="function","Returns","")&amp;""</f>
        <v>Static</v>
      </c>
      <c r="F1" s="7" t="str">
        <f>""&amp;IF(A2="class","","TypeName")&amp;""</f>
        <v>TypeName</v>
      </c>
      <c r="G1" s="7" t="str">
        <f>""&amp;IF(A2="value","Const","")&amp;""&amp;IF(A2="method","Returns","")&amp;""</f>
        <v>Const</v>
      </c>
      <c r="H1" s="5" t="str">
        <f>""&amp;IF(A2="value","ReadOnly","")&amp;""</f>
        <v>ReadOnly</v>
      </c>
      <c r="I1" s="4"/>
      <c r="J1" s="4"/>
      <c r="K1" s="4"/>
      <c r="L1" s="4"/>
      <c r="M1" s="4"/>
    </row>
    <row r="2" spans="1:13" s="6" customFormat="1" ht="18.75" x14ac:dyDescent="0.15">
      <c r="A2" s="8" t="s">
        <v>3</v>
      </c>
      <c r="B2" s="8" t="s">
        <v>4</v>
      </c>
      <c r="C2" s="8"/>
      <c r="D2" s="8" t="s">
        <v>5</v>
      </c>
      <c r="E2" s="9"/>
      <c r="F2" s="8" t="s">
        <v>5</v>
      </c>
      <c r="G2" s="8"/>
      <c r="H2" s="10"/>
      <c r="I2" s="10"/>
      <c r="J2" s="10"/>
      <c r="K2" s="10"/>
      <c r="L2" s="10"/>
      <c r="M2" s="10"/>
    </row>
    <row r="3" spans="1:13" ht="14.25" thickBot="1" x14ac:dyDescent="0.2"/>
    <row r="4" spans="1:13" s="1" customFormat="1" ht="157.5" customHeight="1" thickBot="1" x14ac:dyDescent="0.2">
      <c r="A4" s="11" t="str">
        <f>""&amp;IF(A2="class",A6,"")&amp;""&amp;IF(A2="value",B6,"")&amp;""&amp;IF(A2="method",C6,"")&amp;""&amp;IF(A2="function",D6,"")&amp;""</f>
        <v xml:space="preserve">			offset =
			{
				description = "[oVec2]",
				typeName = "oVec2",
				type = "value",
			},
</v>
      </c>
      <c r="B4" s="12"/>
      <c r="C4" s="12"/>
      <c r="D4" s="13"/>
    </row>
    <row r="5" spans="1:13" s="1" customFormat="1" x14ac:dyDescent="0.15">
      <c r="A5" s="3"/>
      <c r="B5" s="3"/>
      <c r="C5" s="3"/>
      <c r="D5" s="3"/>
    </row>
    <row r="6" spans="1:13" s="1" customFormat="1" ht="162" x14ac:dyDescent="0.15">
      <c r="A6" s="3" t="str">
        <f>""&amp;IF(A2="class",""&amp;CHAR(9)&amp;""&amp;B2&amp;" =
"&amp;CHAR(9)&amp;"{
"&amp;CHAR(9)&amp;""&amp;CHAR(9)&amp;"childs =
"&amp;CHAR(9)&amp;""&amp;CHAR(9)&amp;"{
"&amp;CHAR(9)&amp;""&amp;CHAR(9)&amp;"},
"&amp;CHAR(9)&amp;""&amp;CHAR(9)&amp;"description = """&amp;C2&amp;""","&amp;IF(D2="","","
"&amp;CHAR(9)&amp;""&amp;CHAR(9)&amp;"parents = {"&amp;D2&amp;"},")&amp;"
"&amp;CHAR(9)&amp;""&amp;CHAR(9)&amp;"type = ""class"",
"&amp;CHAR(9)&amp;""&amp;CHAR(9)&amp;"index = index()
"&amp;CHAR(9)&amp;"},
","")&amp;""</f>
        <v/>
      </c>
      <c r="B6" s="3" t="str">
        <f>""&amp;IF(A2="value",""&amp;CHAR(9)&amp;""&amp;CHAR(9)&amp;""&amp;CHAR(9)&amp;""&amp;B2&amp;" =
"&amp;CHAR(9)&amp;""&amp;CHAR(9)&amp;""&amp;CHAR(9)&amp;"{
"&amp;CHAR(9)&amp;""&amp;CHAR(9)&amp;""&amp;CHAR(9)&amp;""&amp;CHAR(9)&amp;"description = """&amp;IF(G2="","","[Const]")&amp;"["&amp;D2&amp;"]"&amp;IF(OR(H2="",G2&lt;&gt;""),"","[readonly]")&amp;""&amp;C2&amp;""","&amp;IF(F2="","","
"&amp;CHAR(9)&amp;""&amp;CHAR(9)&amp;""&amp;CHAR(9)&amp;""&amp;CHAR(9)&amp;"typeName = """&amp;F2&amp;""",")&amp;""&amp;IF(AND(E2="",G2=""),"","
"&amp;CHAR(9)&amp;""&amp;CHAR(9)&amp;""&amp;CHAR(9)&amp;""&amp;CHAR(9)&amp;"static = true,")&amp;"
"&amp;CHAR(9)&amp;""&amp;CHAR(9)&amp;""&amp;CHAR(9)&amp;""&amp;CHAR(9)&amp;"type = ""value"",
"&amp;CHAR(9)&amp;""&amp;CHAR(9)&amp;""&amp;CHAR(9)&amp;"},
","")&amp;""</f>
        <v xml:space="preserve">			offset =
			{
				description = "[oVec2]",
				typeName = "oVec2",
				type = "value",
			},
</v>
      </c>
      <c r="C6" s="3" t="str">
        <f>""&amp;IF(A2="method",""&amp;CHAR(9)&amp;""&amp;CHAR(9)&amp;""&amp;CHAR(9)&amp;""&amp;B2&amp;" =
"&amp;CHAR(9)&amp;""&amp;CHAR(9)&amp;""&amp;CHAR(9)&amp;"{
"&amp;CHAR(9)&amp;""&amp;CHAR(9)&amp;""&amp;CHAR(9)&amp;""&amp;CHAR(9)&amp;"args = ""("&amp;D2&amp;")"",
"&amp;CHAR(9)&amp;""&amp;CHAR(9)&amp;""&amp;CHAR(9)&amp;""&amp;CHAR(9)&amp;"description = """&amp;C2&amp;""","&amp;IF(F2="","","
"&amp;CHAR(9)&amp;""&amp;CHAR(9)&amp;""&amp;CHAR(9)&amp;""&amp;CHAR(9)&amp;"typeName = """&amp;F2&amp;""",")&amp;"
"&amp;CHAR(9)&amp;""&amp;CHAR(9)&amp;""&amp;CHAR(9)&amp;""&amp;CHAR(9)&amp;"returns = ""("&amp;G2&amp;")"","&amp;IF(E2="","","
"&amp;CHAR(9)&amp;""&amp;CHAR(9)&amp;""&amp;CHAR(9)&amp;""&amp;CHAR(9)&amp;"static = true,")&amp;"
"&amp;CHAR(9)&amp;""&amp;CHAR(9)&amp;""&amp;CHAR(9)&amp;""&amp;CHAR(9)&amp;"type = ""method"",
"&amp;CHAR(9)&amp;""&amp;CHAR(9)&amp;""&amp;CHAR(9)&amp;"},
","")&amp;""</f>
        <v/>
      </c>
      <c r="D6" s="3" t="str">
        <f>""&amp;IF(A2="function",""&amp;CHAR(9)&amp;""&amp;B2&amp;" =
"&amp;CHAR(9)&amp;"{
"&amp;CHAR(9)&amp;""&amp;CHAR(9)&amp;"args = ""("&amp;D2&amp;")"",
"&amp;CHAR(9)&amp;""&amp;CHAR(9)&amp;"description = """&amp;C2&amp;""","&amp;IF(F2="","","
"&amp;CHAR(9)&amp;""&amp;CHAR(9)&amp;"typeName = """&amp;F2&amp;""",")&amp;"
"&amp;CHAR(9)&amp;""&amp;CHAR(9)&amp;"returns = ""("&amp;E2&amp;")"",
"&amp;CHAR(9)&amp;""&amp;CHAR(9)&amp;"type = ""function"",
"&amp;CHAR(9)&amp;""&amp;CHAR(9)&amp;"index = index()
"&amp;CHAR(9)&amp;"},
","")&amp;""</f>
        <v/>
      </c>
    </row>
    <row r="7" spans="1:13" s="1" customFormat="1" x14ac:dyDescent="0.15">
      <c r="C7" s="3"/>
      <c r="D7" s="3"/>
    </row>
    <row r="8" spans="1:13" s="1" customFormat="1" x14ac:dyDescent="0.15">
      <c r="A8" s="3"/>
      <c r="B8" s="3"/>
      <c r="C8" s="3"/>
      <c r="D8" s="3"/>
    </row>
    <row r="9" spans="1:13" s="1" customFormat="1" x14ac:dyDescent="0.15">
      <c r="A9" s="3"/>
      <c r="B9" s="3"/>
      <c r="C9" s="3"/>
      <c r="D9" s="3"/>
      <c r="F9" s="2"/>
    </row>
  </sheetData>
  <mergeCells count="1">
    <mergeCell ref="A4:D4"/>
  </mergeCells>
  <phoneticPr fontId="1" type="noConversion"/>
  <dataValidations count="1">
    <dataValidation type="list" allowBlank="1" showInputMessage="1" showErrorMessage="1" sqref="A2">
      <formula1>"class,value,method,function"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李瑾</dc:creator>
  <cp:lastModifiedBy>李瑾</cp:lastModifiedBy>
  <cp:lastPrinted>2013-12-19T01:04:37Z</cp:lastPrinted>
  <dcterms:created xsi:type="dcterms:W3CDTF">2013-12-19T07:23:57Z</dcterms:created>
  <dcterms:modified xsi:type="dcterms:W3CDTF">2014-01-15T17:00:50Z</dcterms:modified>
</cp:coreProperties>
</file>